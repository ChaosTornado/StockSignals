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使用说明" sheetId="2" r:id="rId5"/>
    <sheet name="数据录入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<sst xmlns="http://schemas.openxmlformats.org/spreadsheetml/2006/main" count="152" uniqueCount="152">
  <si>
    <t xml:space="preserve">  </t>
  </si>
  <si>
    <t xml:space="preserve">港股领航指标（顶底信号）计算模板</t>
  </si>
  <si>
    <t xml:space="preserve">一、指标核心逻辑</t>
  </si>
  <si>
    <t xml:space="preserve">通过「流动性 + 内地基本面」双维度，将 4 个经济指标等权重加权合成一个领航指标，用于预判恒生指数的顶底。该指标通常在拐点处领先恒生指数 1~9 个月。</t>
  </si>
  <si>
    <t xml:space="preserve">四个指标均为「同比/比值类百分数」，量纲一致，可直接等权平均，即实现等权重加权。</t>
  </si>
  <si>
    <t xml:space="preserve">二、指标构成与权重</t>
  </si>
  <si>
    <t xml:space="preserve">指标</t>
  </si>
  <si>
    <t xml:space="preserve">权重</t>
  </si>
  <si>
    <t xml:space="preserve">反映维度</t>
  </si>
  <si>
    <t xml:space="preserve">数据来源</t>
  </si>
  <si>
    <t xml:space="preserve">更新频率</t>
  </si>
  <si>
    <t xml:space="preserve">备注</t>
  </si>
  <si>
    <t xml:space="preserve">港元M2同比</t>
  </si>
  <si>
    <t xml:space="preserve">25%</t>
  </si>
  <si>
    <t xml:space="preserve">香港市场流动性</t>
  </si>
  <si>
    <t xml:space="preserve">香港金管局《货币统计数字》官网</t>
  </si>
  <si>
    <t xml:space="preserve">每月初</t>
  </si>
  <si>
    <t xml:space="preserve">流动性锚点</t>
  </si>
  <si>
    <t xml:space="preserve">内地PPI当月同比</t>
  </si>
  <si>
    <t xml:space="preserve">工业生产端价格与景气度</t>
  </si>
  <si>
    <t xml:space="preserve">国家统计局官网（月度数据→价格指数）</t>
  </si>
  <si>
    <t xml:space="preserve">每月 9-11 日</t>
  </si>
  <si>
    <t xml:space="preserve">贴合内地制造业主导结构</t>
  </si>
  <si>
    <t xml:space="preserve">内地社零当月同比</t>
  </si>
  <si>
    <t xml:space="preserve">消费需求端</t>
  </si>
  <si>
    <t xml:space="preserve">国家统计局官网（月度数据→社会消费品零售总额）</t>
  </si>
  <si>
    <t xml:space="preserve">每月 15-17 日</t>
  </si>
  <si>
    <t xml:space="preserve">需求侧变化</t>
  </si>
  <si>
    <t xml:space="preserve">信用脉冲</t>
  </si>
  <si>
    <t xml:space="preserve">信贷扩张/收缩力度</t>
  </si>
  <si>
    <t xml:space="preserve">人民银行社融 + 统计局GDP（自行计算）</t>
  </si>
  <si>
    <t xml:space="preserve">每月 10-15 日</t>
  </si>
  <si>
    <t xml:space="preserve">融资对经济的拉动</t>
  </si>
  <si>
    <t xml:space="preserve">三、信用脉冲计算公式</t>
  </si>
  <si>
    <t xml:space="preserve">信用脉冲 =（最近 6 个月社会融资规模增量之和 − 去年同期 6 个月社融增量之和）÷ 最近两个季度名义 GDP 之和</t>
  </si>
  <si>
    <t xml:space="preserve">示例：计算 2026 年 10 月的信用脉冲 → 分子 = 2026年5-10月社融增量之和 − 2025年5-10月社融增量之和；分母 = 2026年Q2+Q3 名义GDP之和。计算结果（百分数）填入「数据录入」表的 E 列。</t>
  </si>
  <si>
    <t xml:space="preserve">四、使用方法</t>
  </si>
  <si>
    <t xml:space="preserve">1. 打开「数据录入」工作表，A 列已预填 2021-01 起的月份，在黄色单元格 B~E 列填入对应月份的 4 个指标数据（百分数数值，如 3.2 表示 3.2%）；</t>
  </si>
  <si>
    <t xml:space="preserve">2. F 列「领航指标」自动计算：= 25%×港元M2同比 + 25%×PPI同比 + 25%×社零同比 + 25%×信用脉冲（等价于四者平均）；</t>
  </si>
  <si>
    <t xml:space="preserve">3. G 列「顶底信号」自动判定：高于「均值 + 0.5×标准差」→ 警惕顶部；低于「均值 − 0.5×标准差」→ 关注底部；其余为中性；</t>
  </si>
  <si>
    <t xml:space="preserve">4. 统计基准（均值/标准差）随已录入数据自动更新，历史数据越多越稳定，建议至少积累 24 个月；阈值系数 0.5 可在「数据录入」表 K6 单元格自行调整。</t>
  </si>
  <si>
    <t xml:space="preserve">5. 月份序列自 2021-01 起自动预填，直接按行录入真实数据即可；暂无数据的月份留空，统计基准自动忽略空行。</t>
  </si>
  <si>
    <t xml:space="preserve">五、信号使用提示</t>
  </si>
  <si>
    <t xml:space="preserve">· 顶/底信号出现后，通常领先恒生指数 1~9 个月出现对应走势，可用于辅助研判市场情绪与择时；</t>
  </si>
  <si>
    <t xml:space="preserve">· 本模板仅作为量化指标的计算与记录工具，不构成任何投资建议。</t>
  </si>
  <si>
    <t xml:space="preserve">港股领航指标 · 数据录入与自动计算</t>
  </si>
  <si>
    <t xml:space="preserve">统计基准（自动计算，无需填写）</t>
  </si>
  <si>
    <t xml:space="preserve">图例：黄色 = 手动录入数据 ｜ 绿色 = 自动计算（无需填写） ｜ 灰色 = 权重 / 统计基准。A 列已预填 2021-01 起的月份，只需在 B~E 列填入当月数据。</t>
  </si>
  <si>
    <t xml:space="preserve">均值</t>
  </si>
  <si>
    <t xml:space="preserve">指标权重</t>
  </si>
  <si>
    <t xml:space="preserve">自动计算</t>
  </si>
  <si>
    <t xml:space="preserve">标准差</t>
  </si>
  <si>
    <t xml:space="preserve">月份</t>
  </si>
  <si>
    <t xml:space="preserve">港元M2同比(%)</t>
  </si>
  <si>
    <t xml:space="preserve">内地PPI当月同比(%)</t>
  </si>
  <si>
    <t xml:space="preserve">内地社零当月同比(%)</t>
  </si>
  <si>
    <t xml:space="preserve">信用脉冲(%)</t>
  </si>
  <si>
    <t xml:space="preserve">领航指标(等权加权)</t>
  </si>
  <si>
    <t xml:space="preserve">顶底信号</t>
  </si>
  <si>
    <t xml:space="preserve">备注</t>
  </si>
  <si>
    <t xml:space="preserve">恒生指数(月末收盘)</t>
  </si>
  <si>
    <t xml:space="preserve">上界 = 均值 + 阈值系数×标准差</t>
  </si>
  <si>
    <t xml:space="preserve">2021-01</t>
  </si>
  <si>
    <t xml:space="preserve">数据截至2026-09（2026-10起待官方发布后补填）</t>
  </si>
  <si>
    <t xml:space="preserve">下界 = 均值 − 阈值系数×标准差</t>
  </si>
  <si>
    <t xml:space="preserve">2021-02</t>
  </si>
  <si>
    <t xml:space="preserve">港元M2为季度末口径（2026-07/08为金管局月度）</t>
  </si>
  <si>
    <t xml:space="preserve">阈值系数（可调整）</t>
  </si>
  <si>
    <t xml:space="preserve">2021-03</t>
  </si>
  <si>
    <t xml:space="preserve">PPI：2021/2026为官方同比，2022-2025由统计局定基指数(2020=100)计算</t>
  </si>
  <si>
    <t xml:space="preserve">2021-04</t>
  </si>
  <si>
    <t xml:space="preserve">社零1-2月为官方合并值；信用脉冲公式见使用说明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</si>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</sst>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"/>
    <numFmt numFmtId="165" formatCode="0%"/>
    <numFmt numFmtId="166" formatCode="0.0"/>
    <numFmt numFmtId="167" formatCode="#,##0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6"/>
      <color rgb="FFFFFFFF"/>
      <name val="微软雅黑"/>
      <family val="2"/>
    </font>
    <font>
      <b val="true"/>
      <sz val="12"/>
      <color rgb="FFFFFFFF"/>
      <name val="微软雅黑"/>
      <family val="2"/>
    </font>
    <font>
      <sz val="11"/>
      <color rgb="FF000000"/>
      <name val="微软雅黑"/>
      <family val="2"/>
    </font>
    <font>
      <b val="true"/>
      <sz val="11"/>
      <color rgb="FF000000"/>
      <name val="微软雅黑"/>
      <family val="2"/>
    </font>
    <font>
      <sz val="11"/>
      <color rgb="FF000000"/>
      <name val="微软雅黑"/>
      <family val="2"/>
    </font>
    <font>
      <b val="true"/>
      <sz val="11"/>
      <color rgb="FF000000"/>
      <name val="微软雅黑"/>
      <family val="2"/>
    </font>
    <font>
      <b val="true"/>
      <sz val="10"/>
      <color rgb="FF000000"/>
      <name val="微软雅黑"/>
      <family val="2"/>
    </font>
    <font>
      <sz val="10"/>
      <color rgb="FF7F6000"/>
      <name val="微软雅黑"/>
      <family val="2"/>
    </font>
    <font>
      <sz val="10"/>
      <color rgb="FF000000"/>
      <name val="微软雅黑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>
      <patternFill patternType="solid">
        <fgColor rgb="FF2E75B6"/>
        <bgColor/>
      </patternFill>
    </fill>
    <fill>
      <patternFill patternType="solid">
        <fgColor rgb="FFDDEBF7"/>
        <bgColor/>
      </patternFill>
    </fill>
    <fill>
      <patternFill patternType="solid">
        <fgColor rgb="FF1F4E79"/>
        <bgColor/>
      </patternFill>
    </fill>
    <fill>
      <patternFill patternType="solid">
        <fgColor rgb="FFF2F2F2"/>
        <bgColor/>
      </patternFill>
    </fill>
    <fill>
      <patternFill patternType="solid">
        <fgColor rgb="FFFFF9E3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hair">
        <color rgb="FFD9D9D9"/>
      </bottom>
      <diagonal/>
    </border>
    <border>
      <left/>
      <right/>
      <top/>
      <bottom style="thin">
        <color rgb="FF80808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true" applyFont="true" applyNumberFormat="false" applyProtection="false" borderId="1" fillId="4" fontId="5" numFmtId="0" xfId="0">
      <alignment horizontal="center" vertical="center"/>
    </xf>
    <xf applyAlignment="true" applyBorder="false" applyFill="false" applyFont="true" applyNumberFormat="false" applyProtection="false" borderId="2" fillId="0" fontId="6" numFmtId="0" xfId="0">
      <alignment horizontal="left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top" wrapText="true"/>
    </xf>
    <xf applyAlignment="true" applyBorder="false" applyFill="true" applyFont="true" applyNumberFormat="false" applyProtection="false" borderId="0" fillId="5" fontId="2" numFmtId="0" xfId="0">
      <alignment horizontal="center" vertical="center"/>
    </xf>
    <xf applyAlignment="true" applyBorder="false" applyFill="true" applyFont="true" applyNumberFormat="false" applyProtection="false" borderId="0" fillId="6" fontId="8" numFmtId="0" xfId="0">
      <alignment horizontal="center" vertical="center"/>
    </xf>
    <xf applyAlignment="true" applyBorder="false" applyFill="true" applyFont="true" applyNumberFormat="false" applyProtection="false" borderId="0" fillId="7" fontId="9" numFmtId="0" xfId="0">
      <alignment horizontal="left" vertical="center"/>
    </xf>
    <xf applyAlignment="true" applyBorder="false" applyFill="true" applyFont="true" applyNumberFormat="false" applyProtection="false" borderId="0" fillId="6" fontId="10" numFmtId="0" xfId="0">
      <alignment horizontal="left" vertical="center"/>
    </xf>
    <xf applyAlignment="true" applyBorder="false" applyFill="true" applyFont="true" applyNumberFormat="true" applyProtection="false" borderId="0" fillId="6" fontId="10" numFmtId="164" xfId="0">
      <alignment horizontal="center" vertical="center"/>
    </xf>
    <xf applyAlignment="true" applyBorder="false" applyFill="true" applyFont="true" applyNumberFormat="true" applyProtection="false" borderId="0" fillId="6" fontId="8" numFmtId="165" xfId="0">
      <alignment horizontal="center" vertical="center"/>
    </xf>
    <xf applyAlignment="true" applyBorder="false" applyFill="true" applyFont="true" applyNumberFormat="false" applyProtection="false" borderId="3" fillId="8" fontId="5" numFmtId="0" xfId="0">
      <alignment horizontal="center" vertical="center" wrapText="true"/>
    </xf>
    <xf applyAlignment="true" applyBorder="false" applyFill="true" applyFont="true" applyNumberFormat="false" applyProtection="false" borderId="3" fillId="8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true" applyFont="true" applyNumberFormat="true" applyProtection="false" borderId="0" fillId="9" fontId="10" numFmtId="166" xfId="0">
      <alignment vertical="bottom"/>
    </xf>
    <xf applyAlignment="true" applyBorder="false" applyFill="true" applyFont="true" applyNumberFormat="true" applyProtection="false" borderId="0" fillId="10" fontId="10" numFmtId="164" xfId="0">
      <alignment horizontal="center" vertical="center"/>
    </xf>
    <xf applyAlignment="true" applyBorder="false" applyFill="true" applyFont="true" applyNumberFormat="false" applyProtection="false" borderId="0" fillId="10" fontId="10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true" applyProtection="false" borderId="0" fillId="9" fontId="10" numFmtId="167" xfId="0">
      <alignment vertical="bottom"/>
    </xf>
    <xf applyAlignment="true" applyBorder="false" applyFill="true" applyFont="true" applyNumberFormat="true" applyProtection="false" borderId="0" fillId="6" fontId="10" numFmtId="166" xfId="0">
      <alignment horizontal="center"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true" applyFont="true" applyNumberFormat="true" applyProtection="false" borderId="0" fillId="9" fontId="10" numFmtId="166" xfId="0">
      <alignment vertical="bottom"/>
    </xf>
    <xf applyAlignment="true" applyBorder="false" applyFill="true" applyFont="true" applyNumberFormat="true" applyProtection="false" borderId="0" fillId="10" fontId="10" numFmtId="164" xfId="0">
      <alignment horizontal="center" vertical="center"/>
    </xf>
    <xf applyAlignment="true" applyBorder="false" applyFill="true" applyFont="true" applyNumberFormat="false" applyProtection="false" borderId="0" fillId="10" fontId="10" numFmtId="0" xfId="0">
      <alignment horizontal="center" vertical="center"/>
    </xf>
    <xf applyAlignment="true" applyBorder="false" applyFill="true" applyFont="true" applyNumberFormat="true" applyProtection="false" borderId="0" fillId="9" fontId="10" numFmtId="167" xfId="0">
      <alignment vertical="bottom"/>
    </xf>
  </cellXfs>
  <cellStyles count="1">
    <cellStyle builtinId="0" name="Normal" xfId="0"/>
  </cellStyles>
  <dxfs count="2">
    <dxf>
      <fill>
        <patternFill patternType="solid">
          <fgColor/>
          <bgColor rgb="FFFFC7CE"/>
        </patternFill>
      </fill>
    </dxf>
    <dxf>
      <fill>
        <patternFill patternType="solid">
          <fgColor/>
          <bgColor rgb="FFC6EF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恒生指数领航指标与恒指走势（2021-01~2026-09）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'数据录入'!$F$4</f>
            </strRef>
          </tx>
          <spPr>
            <a:solidFill>
              <a:srgbClr val="333333"/>
            </a:solidFill>
            <a:ln w="19050">
              <a:solidFill>
                <a:srgbClr val="333333"/>
              </a:solidFill>
              <a:prstDash val="solid"/>
            </a:ln>
          </spPr>
          <invertIfNegative val="false"/>
          <dLbls>
            <showLegendKey val="false"/>
            <showVal val="fals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33333"/>
              </a:solidFill>
              <a:ln w="19050">
                <a:solidFill>
                  <a:srgbClr val="333333"/>
                </a:solidFill>
              </a:ln>
            </spPr>
          </marker>
          <cat>
            <strRef>
              <f>'数据录入'!$A$5:$A$73</f>
            </strRef>
          </cat>
          <val>
            <numRef>
              <f>'数据录入'!$F$5:$F$73</f>
            </numRef>
          </val>
          <smooth val="true"/>
        </ser>
        <dLbls>
          <showVal val="false"/>
          <showCatName val="false"/>
          <showSerName val="false"/>
          <showPercent val="false"/>
          <showBubbleSize val="false"/>
        </dLbls>
        <smooth val="true"/>
        <axId val="754001152"/>
        <axId val="753999904"/>
      </lineChart>
      <lineChart>
        <grouping val="standard"/>
        <varyColors val="false"/>
        <ser>
          <idx val="1"/>
          <order val="1"/>
          <tx>
            <strRef>
              <f>'数据录入'!$I$4</f>
            </strRef>
          </tx>
          <spPr>
            <a:solidFill>
              <a:srgbClr val="E67E22"/>
            </a:solidFill>
            <a:ln w="19050">
              <a:solidFill>
                <a:srgbClr val="E67E22"/>
              </a:solidFill>
              <a:prstDash val="solid"/>
            </a:ln>
          </spPr>
          <invertIfNegative val="false"/>
          <dLbls>
            <showLegendKey val="false"/>
            <showVal val="fals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E67E22"/>
              </a:solidFill>
              <a:ln w="19050">
                <a:solidFill>
                  <a:srgbClr val="E67E22"/>
                </a:solidFill>
              </a:ln>
            </spPr>
          </marker>
          <cat>
            <strRef>
              <f>'数据录入'!$A$5:$A$73</f>
            </strRef>
          </cat>
          <val>
            <numRef>
              <f>'数据录入'!$I$5:$I$73</f>
            </numRef>
          </val>
          <smooth val="true"/>
        </ser>
        <dLbls>
          <showVal val="false"/>
          <showCatName val="false"/>
          <showSerName val="false"/>
          <showPercent val="false"/>
          <showBubbleSize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  <title>
          <tx>
            <rich>
              <a:bodyPr anchorCtr="false" rot="0" spcFirstLastPara="false"/>
              <a:p>
                <a:pPr>
                  <a:defRPr b="false" baseline="0" i="false" kern="1200" spc="0" strike="noStrike" sz="100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b="true" baseline="0" i="false" kern="0" lang="en-US" spc="0"/>
                  <a:t>月份</a:t>
                </a:r>
              </a:p>
            </rich>
          </tx>
          <overlay val="false"/>
          <spPr/>
          <txPr>
            <a:bodyPr anchorCtr="false" rot="0" spcFirstLastPara="false"/>
            <a:p>
              <a:pPr>
                <a:defRPr b="false" baseline="0" i="false" kern="1200" spc="0" strike="noStrike" sz="1000" u="none"/>
              </a:pPr>
              <a:endParaRPr lang="en-US"/>
            </a:p>
          </txPr>
        </title>
      </catAx>
      <valAx>
        <axId val="753999904"/>
        <scaling>
          <orientation val="minMax"/>
        </scaling>
        <delete val="false"/>
        <axPos val="l"/>
        <majorGridlines>
          <spPr>
            <a:ln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  <title>
          <tx>
            <rich>
              <a:bodyPr anchorCtr="false" rot="-5400000" spcFirstLastPara="false"/>
              <a:p>
                <a:pPr>
                  <a:defRPr b="false" baseline="0" i="false" kern="1200" spc="0" strike="noStrike" sz="100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b="true" baseline="0" i="false" kern="0" lang="en-US" spc="0"/>
                  <a:t>领航指标(%)</a:t>
                </a:r>
              </a:p>
            </rich>
          </tx>
          <overlay val="false"/>
          <spPr/>
          <txPr>
            <a:bodyPr anchorCtr="false" rot="0" spcFirstLastPara="false"/>
            <a:p>
              <a:pPr>
                <a:defRPr b="false" baseline="0" i="false" kern="1200" spc="0" strike="noStrike" sz="1000" u="none"/>
              </a:pPr>
              <a:endParaRPr lang="en-US"/>
            </a:p>
          </txPr>
        </title>
      </valAx>
      <valAx>
        <axId val="753999905"/>
        <scaling>
          <orientation val="minMax"/>
          <max val="30000"/>
          <min val="10000"/>
        </scaling>
        <delete val="false"/>
        <axPos val="l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  <title>
          <tx>
            <rich>
              <a:bodyPr anchorCtr="false" rot="-5400000" spcFirstLastPara="false"/>
              <a:p>
                <a:pPr>
                  <a:defRPr b="false" baseline="0" i="false" kern="1200" spc="0" strike="noStrike" sz="100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 b="true" baseline="0" i="false" kern="0" lang="en-US" spc="0"/>
                  <a:t>恒生指数(点)</a:t>
                </a:r>
              </a:p>
            </rich>
          </tx>
          <overlay val="false"/>
          <spPr/>
          <txPr>
            <a:bodyPr anchorCtr="false" rot="0" spcFirstLastPara="false"/>
            <a:p>
              <a:pPr>
                <a:defRPr b="false" baseline="0" i="false" kern="1200" spc="0" strike="noStrike" sz="1000" u="none"/>
              </a:pPr>
              <a:endParaRPr lang="en-US"/>
            </a:p>
          </txPr>
        </title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zero"/>
    <showDLblsOverMax val="false"/>
  </chart>
  <spPr>
    <a:solidFill>
      <a:schemeClr val="bg1"/>
    </a:solidFill>
    <a:ln w="9525">
      <a:solidFill>
        <a:srgbClr val="DEE0E3"/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Relationship Id="rId2" Target="../charts/chart1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0</xdr:rowOff>
    </xdr:to>
    <xdr:pic>
      <xdr:nvPicPr>
        <xdr:cNvPr id="2" name="Picture 2" descr="hRyqL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323850</xdr:colOff>
      <xdr:row>1</xdr:row>
      <xdr:rowOff>0</xdr:rowOff>
    </xdr:to>
    <xdr:pic>
      <xdr:nvPicPr>
        <xdr:cNvPr id="2" name="Picture 2" descr="LivCT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0</xdr:colOff>
      <xdr:row>89</xdr:row>
      <xdr:rowOff>0</xdr:rowOff>
    </xdr:from>
    <xdr:to>
      <xdr:col>7</xdr:col>
      <xdr:colOff>390525</xdr:colOff>
      <xdr:row>105</xdr:row>
      <xdr:rowOff>76200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50"/>
    <col collapsed="false" customWidth="true" hidden="false" max="2" min="2" style="0" width="8"/>
    <col collapsed="false" customWidth="true" hidden="false" max="3" min="3" style="0" width="25"/>
    <col collapsed="false" customWidth="true" hidden="false" max="4" min="4" style="0" width="48"/>
    <col collapsed="false" customWidth="true" hidden="false" max="5" min="5" style="0" width="16"/>
    <col collapsed="false" customWidth="true" hidden="false" max="6" min="6" style="0" width="25"/>
  </cols>
  <sheetData>
    <row customHeight="true" ht="32" r="1">
      <c r="A1" s="1" t="s">
        <v>1</v>
      </c>
    </row>
    <row r="2"/>
    <row customHeight="true" ht="24" r="3">
      <c r="A3" s="2" t="s">
        <v>2</v>
      </c>
    </row>
    <row r="4">
      <c r="A4" s="3" t="s">
        <v>3</v>
      </c>
    </row>
    <row r="5">
      <c r="A5" s="3" t="s">
        <v>4</v>
      </c>
    </row>
    <row r="6"/>
    <row customHeight="true" ht="24" r="7">
      <c r="A7" s="2" t="s">
        <v>5</v>
      </c>
    </row>
    <row customHeight="true" ht="20" r="8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>
      <c r="A9" s="5" t="s">
        <v>12</v>
      </c>
      <c r="B9" s="6" t="s">
        <v>13</v>
      </c>
      <c r="C9" s="5" t="s">
        <v>14</v>
      </c>
      <c r="D9" s="5" t="s">
        <v>15</v>
      </c>
      <c r="E9" s="5" t="s">
        <v>16</v>
      </c>
      <c r="F9" s="5" t="s">
        <v>17</v>
      </c>
    </row>
    <row r="10">
      <c r="A10" s="5" t="s">
        <v>18</v>
      </c>
      <c r="B10" s="6" t="s">
        <v>13</v>
      </c>
      <c r="C10" s="5" t="s">
        <v>19</v>
      </c>
      <c r="D10" s="5" t="s">
        <v>20</v>
      </c>
      <c r="E10" s="5" t="s">
        <v>21</v>
      </c>
      <c r="F10" s="5" t="s">
        <v>22</v>
      </c>
    </row>
    <row r="11">
      <c r="A11" s="5" t="s">
        <v>23</v>
      </c>
      <c r="B11" s="6" t="s">
        <v>13</v>
      </c>
      <c r="C11" s="5" t="s">
        <v>24</v>
      </c>
      <c r="D11" s="5" t="s">
        <v>25</v>
      </c>
      <c r="E11" s="5" t="s">
        <v>26</v>
      </c>
      <c r="F11" s="5" t="s">
        <v>27</v>
      </c>
    </row>
    <row r="12">
      <c r="A12" s="5" t="s">
        <v>28</v>
      </c>
      <c r="B12" s="6" t="s">
        <v>13</v>
      </c>
      <c r="C12" s="5" t="s">
        <v>29</v>
      </c>
      <c r="D12" s="5" t="s">
        <v>30</v>
      </c>
      <c r="E12" s="5" t="s">
        <v>31</v>
      </c>
      <c r="F12" s="5" t="s">
        <v>32</v>
      </c>
    </row>
    <row r="13"/>
    <row r="14"/>
    <row customHeight="true" ht="24" r="15">
      <c r="A15" s="2" t="s">
        <v>33</v>
      </c>
    </row>
    <row r="16">
      <c r="A16" s="7" t="s">
        <v>34</v>
      </c>
    </row>
    <row r="17">
      <c r="A17" s="3" t="s">
        <v>35</v>
      </c>
    </row>
    <row r="18"/>
    <row customHeight="true" ht="24" r="19">
      <c r="A19" s="2" t="s">
        <v>36</v>
      </c>
    </row>
    <row r="20">
      <c r="A20" s="3" t="s">
        <v>37</v>
      </c>
    </row>
    <row r="21">
      <c r="A21" s="3" t="s">
        <v>38</v>
      </c>
    </row>
    <row r="22">
      <c r="A22" s="3" t="s">
        <v>39</v>
      </c>
    </row>
    <row r="23">
      <c r="A23" s="3" t="s">
        <v>40</v>
      </c>
    </row>
    <row r="24">
      <c r="A24" s="3" t="s">
        <v>41</v>
      </c>
    </row>
    <row r="25"/>
    <row customHeight="true" ht="24" r="26">
      <c r="A26" s="2" t="s">
        <v>42</v>
      </c>
    </row>
    <row r="27">
      <c r="A27" s="3" t="s">
        <v>43</v>
      </c>
    </row>
    <row r="28">
      <c r="A28" s="3" t="s">
        <v>44</v>
      </c>
    </row>
  </sheetData>
  <mergeCells>
    <mergeCell ref="A19:F19"/>
    <mergeCell ref="A1:F1"/>
    <mergeCell ref="A26:F26"/>
    <mergeCell ref="A3:F3"/>
    <mergeCell ref="A15:F15"/>
    <mergeCell ref="A7:F7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5" ySplit="4"/>
    </sheetView>
  </sheetViews>
  <sheetFormatPr defaultRowHeight="16"/>
  <cols>
    <col collapsed="false" customWidth="true" hidden="false" max="2" min="2" style="0" width="15"/>
    <col collapsed="false" customWidth="true" hidden="false" max="4" min="4" style="0" width="20"/>
    <col collapsed="false" customWidth="true" hidden="false" max="6" min="6" style="0" width="18"/>
    <col collapsed="false" customWidth="true" hidden="false" max="8" min="8" style="0" width="18"/>
    <col collapsed="false" customWidth="true" hidden="false" max="10" min="10" style="0" width="34"/>
    <col collapsed="false" customWidth="true" hidden="false" max="1" min="1" style="0" width="12"/>
    <col collapsed="false" customWidth="true" hidden="false" max="3" min="3" style="0" width="20"/>
    <col collapsed="false" customWidth="true" hidden="false" max="5" min="5" style="0" width="14"/>
    <col collapsed="false" customWidth="true" hidden="false" max="7" min="7" style="0" width="14"/>
    <col collapsed="false" customWidth="true" hidden="false" max="11" min="11" style="0" width="16"/>
  </cols>
  <sheetData>
    <row customHeight="true" ht="32" r="1">
      <c r="A1" s="8" t="s">
        <v>45</v>
      </c>
      <c r="J1" s="9" t="s">
        <v>46</v>
      </c>
    </row>
    <row customHeight="true" ht="20" r="2">
      <c r="A2" s="10" t="s">
        <v>47</v>
      </c>
      <c r="J2" s="11" t="s">
        <v>48</v>
      </c>
      <c r="K2" s="12">
        <f>IF(COUNT($F$5:$F$88)=0,"",AVERAGE($F$5:$F$88))</f>
      </c>
    </row>
    <row customHeight="true" ht="18" r="3">
      <c r="A3" s="9" t="s">
        <v>49</v>
      </c>
      <c r="B3" s="13">
        <v>0.25</v>
      </c>
      <c r="C3" s="13">
        <v>0.25</v>
      </c>
      <c r="D3" s="13">
        <v>0.25</v>
      </c>
      <c r="E3" s="13">
        <v>0.25</v>
      </c>
      <c r="F3" s="9" t="s">
        <v>50</v>
      </c>
      <c r="J3" s="11" t="s">
        <v>51</v>
      </c>
      <c r="K3" s="12">
        <f>IF(COUNT($F$5:$F$88)=0,"",STDEV($F$5:$F$88))</f>
      </c>
    </row>
    <row customHeight="true" ht="32" r="4">
      <c r="A4" s="14" t="s">
        <v>52</v>
      </c>
      <c r="B4" s="14" t="s">
        <v>53</v>
      </c>
      <c r="C4" s="14" t="s">
        <v>54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5" t="s">
        <v>60</v>
      </c>
      <c r="J4" s="11" t="s">
        <v>61</v>
      </c>
      <c r="K4" s="12">
        <f>IF(OR(K2="",K3=""),"",K2+$K$6*K3)</f>
      </c>
    </row>
    <row r="5">
      <c r="A5" s="16" t="s">
        <v>62</v>
      </c>
      <c r="B5" s="17">
        <v>9.2</v>
      </c>
      <c r="C5" s="17">
        <v>0.3</v>
      </c>
      <c r="D5" s="17">
        <v>33.8</v>
      </c>
      <c r="E5" s="17">
        <v>4.8</v>
      </c>
      <c r="F5" s="18">
        <f t="shared" ref="F5:F88" si="0">IF(COUNT(B5:E5)=4,AVERAGE(B5:E5),"")</f>
      </c>
      <c r="G5" s="19">
        <f t="shared" ref="G5:G88" si="1">IF(F5="","",IF(F5&gt;=$K$4,"警惕顶部",IF(F5&lt;=$K$5,"关注底部","中性")))</f>
      </c>
      <c r="H5" s="20" t="s">
        <v>63</v>
      </c>
      <c r="I5" s="21">
        <v>28283.71</v>
      </c>
      <c r="J5" s="11" t="s">
        <v>64</v>
      </c>
      <c r="K5" s="12">
        <f>IF(OR(K2="",K3=""),"",K2-$K$6*K3)</f>
      </c>
    </row>
    <row r="6">
      <c r="A6" s="16" t="s">
        <v>65</v>
      </c>
      <c r="B6" s="17">
        <v>9.2</v>
      </c>
      <c r="C6" s="17">
        <v>1.7</v>
      </c>
      <c r="D6" s="17">
        <v>33.8</v>
      </c>
      <c r="E6" s="17">
        <v>3.8</v>
      </c>
      <c r="F6" s="18">
        <f t="shared" si="0"/>
      </c>
      <c r="G6" s="19">
        <f t="shared" si="1"/>
      </c>
      <c r="H6" s="20" t="s">
        <v>66</v>
      </c>
      <c r="I6" s="21">
        <v>28980.21</v>
      </c>
      <c r="J6" s="11" t="s">
        <v>67</v>
      </c>
      <c r="K6" s="22">
        <v>0.5</v>
      </c>
    </row>
    <row r="7">
      <c r="A7" s="16" t="s">
        <v>68</v>
      </c>
      <c r="B7" s="17">
        <v>9.2</v>
      </c>
      <c r="C7" s="17">
        <v>4.4</v>
      </c>
      <c r="D7" s="17">
        <v>34.2</v>
      </c>
      <c r="E7" s="17">
        <v>-1.2</v>
      </c>
      <c r="F7" s="18">
        <f t="shared" si="0"/>
      </c>
      <c r="G7" s="19">
        <f t="shared" si="1"/>
      </c>
      <c r="H7" s="20" t="s">
        <v>69</v>
      </c>
      <c r="I7" s="21">
        <v>28378.35</v>
      </c>
    </row>
    <row r="8">
      <c r="A8" s="16" t="s">
        <v>70</v>
      </c>
      <c r="B8" s="17">
        <v>10.9</v>
      </c>
      <c r="C8" s="17">
        <v>6.8</v>
      </c>
      <c r="D8" s="17">
        <v>17.7</v>
      </c>
      <c r="E8" s="17">
        <v>-4.4</v>
      </c>
      <c r="F8" s="18">
        <f t="shared" si="0"/>
      </c>
      <c r="G8" s="19">
        <f t="shared" si="1"/>
      </c>
      <c r="H8" t="s">
        <v>71</v>
      </c>
      <c r="I8" s="21">
        <v>28724.88</v>
      </c>
    </row>
    <row r="9">
      <c r="A9" s="16" t="s">
        <v>72</v>
      </c>
      <c r="B9" s="17">
        <v>10.9</v>
      </c>
      <c r="C9" s="17">
        <v>9</v>
      </c>
      <c r="D9" s="17">
        <v>12.4</v>
      </c>
      <c r="E9" s="17">
        <v>-7</v>
      </c>
      <c r="F9" s="18">
        <f t="shared" si="0"/>
      </c>
      <c r="G9" s="19">
        <f t="shared" si="1"/>
      </c>
      <c r="I9" s="21">
        <v>29151.8</v>
      </c>
    </row>
    <row r="10">
      <c r="A10" s="16" t="s">
        <v>73</v>
      </c>
      <c r="B10" s="17">
        <v>10.9</v>
      </c>
      <c r="C10" s="17">
        <v>8.8</v>
      </c>
      <c r="D10" s="17">
        <v>12.1</v>
      </c>
      <c r="E10" s="17">
        <v>-5.7</v>
      </c>
      <c r="F10" s="18">
        <f t="shared" si="0"/>
      </c>
      <c r="G10" s="19">
        <f t="shared" si="1"/>
      </c>
      <c r="I10" s="21">
        <v>28827.95</v>
      </c>
    </row>
    <row r="11">
      <c r="A11" s="16" t="s">
        <v>74</v>
      </c>
      <c r="B11" s="17">
        <v>-1.9</v>
      </c>
      <c r="C11" s="17">
        <v>9</v>
      </c>
      <c r="D11" s="17">
        <v>8.5</v>
      </c>
      <c r="E11" s="17">
        <v>-6.6</v>
      </c>
      <c r="F11" s="18">
        <f t="shared" si="0"/>
      </c>
      <c r="G11" s="19">
        <f t="shared" si="1"/>
      </c>
      <c r="I11" s="21">
        <v>25961.03</v>
      </c>
    </row>
    <row r="12">
      <c r="A12" s="16" t="s">
        <v>75</v>
      </c>
      <c r="B12" s="17">
        <v>-1.9</v>
      </c>
      <c r="C12" s="17">
        <v>9.5</v>
      </c>
      <c r="D12" s="17">
        <v>2.5</v>
      </c>
      <c r="E12" s="17">
        <v>-8.9</v>
      </c>
      <c r="F12" s="18">
        <f t="shared" si="0"/>
      </c>
      <c r="G12" s="19">
        <f t="shared" si="1"/>
      </c>
      <c r="I12" s="21">
        <v>25878.99</v>
      </c>
    </row>
    <row r="13">
      <c r="A13" s="16" t="s">
        <v>76</v>
      </c>
      <c r="B13" s="17">
        <v>-1.9</v>
      </c>
      <c r="C13" s="17">
        <v>10.7</v>
      </c>
      <c r="D13" s="17">
        <v>4.4</v>
      </c>
      <c r="E13" s="17">
        <v>-6.8</v>
      </c>
      <c r="F13" s="18">
        <f t="shared" si="0"/>
      </c>
      <c r="G13" s="19">
        <f t="shared" si="1"/>
      </c>
      <c r="I13" s="21">
        <v>24575.64</v>
      </c>
    </row>
    <row r="14">
      <c r="A14" s="16" t="s">
        <v>77</v>
      </c>
      <c r="B14" s="17">
        <v>1.5</v>
      </c>
      <c r="C14" s="17">
        <v>13.5</v>
      </c>
      <c r="D14" s="17">
        <v>4.9</v>
      </c>
      <c r="E14" s="17">
        <v>-4</v>
      </c>
      <c r="F14" s="18">
        <f t="shared" si="0"/>
      </c>
      <c r="G14" s="19">
        <f t="shared" si="1"/>
      </c>
      <c r="I14" s="21">
        <v>25377.24</v>
      </c>
    </row>
    <row r="15">
      <c r="A15" s="16" t="s">
        <v>78</v>
      </c>
      <c r="B15" s="17">
        <v>1.5</v>
      </c>
      <c r="C15" s="17">
        <v>12.9</v>
      </c>
      <c r="D15" s="17">
        <v>3.9</v>
      </c>
      <c r="E15" s="17">
        <v>-1.3</v>
      </c>
      <c r="F15" s="18">
        <f t="shared" si="0"/>
      </c>
      <c r="G15" s="19">
        <f t="shared" si="1"/>
      </c>
      <c r="I15" s="21">
        <v>23475.26</v>
      </c>
    </row>
    <row r="16">
      <c r="A16" s="16" t="s">
        <v>79</v>
      </c>
      <c r="B16" s="17">
        <v>1.5</v>
      </c>
      <c r="C16" s="17">
        <v>10.3</v>
      </c>
      <c r="D16" s="17">
        <v>1.7</v>
      </c>
      <c r="E16" s="17">
        <v>-0.6</v>
      </c>
      <c r="F16" s="18">
        <f t="shared" si="0"/>
      </c>
      <c r="G16" s="19">
        <f t="shared" si="1"/>
      </c>
      <c r="I16" s="21">
        <v>23397.67</v>
      </c>
    </row>
    <row r="17">
      <c r="A17" s="16" t="s">
        <v>80</v>
      </c>
      <c r="B17" s="17">
        <v>1</v>
      </c>
      <c r="C17" s="17">
        <v>9.1</v>
      </c>
      <c r="D17" s="17">
        <v>6.7</v>
      </c>
      <c r="E17" s="17">
        <v>2</v>
      </c>
      <c r="F17" s="18">
        <f t="shared" si="0"/>
      </c>
      <c r="G17" s="19">
        <f t="shared" si="1"/>
      </c>
      <c r="I17" s="21">
        <v>23802.26</v>
      </c>
    </row>
    <row r="18">
      <c r="A18" s="16" t="s">
        <v>81</v>
      </c>
      <c r="B18" s="17">
        <v>1</v>
      </c>
      <c r="C18" s="17">
        <v>8.8</v>
      </c>
      <c r="D18" s="17">
        <v>6.7</v>
      </c>
      <c r="E18" s="17">
        <v>2.1</v>
      </c>
      <c r="F18" s="18">
        <f t="shared" si="0"/>
      </c>
      <c r="G18" s="19">
        <f t="shared" si="1"/>
      </c>
      <c r="I18" s="21">
        <v>22713.02</v>
      </c>
    </row>
    <row r="19">
      <c r="A19" s="16" t="s">
        <v>82</v>
      </c>
      <c r="B19" s="17">
        <v>1</v>
      </c>
      <c r="C19" s="17">
        <v>8.3</v>
      </c>
      <c r="D19" s="17">
        <v>-3.5</v>
      </c>
      <c r="E19" s="17">
        <v>5.1</v>
      </c>
      <c r="F19" s="18">
        <f t="shared" si="0"/>
      </c>
      <c r="G19" s="19">
        <f t="shared" si="1"/>
      </c>
      <c r="I19" s="21">
        <v>21996.85</v>
      </c>
    </row>
    <row r="20">
      <c r="A20" s="16" t="s">
        <v>83</v>
      </c>
      <c r="B20" s="17">
        <v>-2.8</v>
      </c>
      <c r="C20" s="17">
        <v>7.9</v>
      </c>
      <c r="D20" s="17">
        <v>-11.1</v>
      </c>
      <c r="E20" s="17">
        <v>3.4</v>
      </c>
      <c r="F20" s="18">
        <f t="shared" si="0"/>
      </c>
      <c r="G20" s="19">
        <f t="shared" si="1"/>
      </c>
      <c r="I20" s="21">
        <v>21089.39</v>
      </c>
    </row>
    <row r="21">
      <c r="A21" s="16" t="s">
        <v>84</v>
      </c>
      <c r="B21" s="17">
        <v>-2.8</v>
      </c>
      <c r="C21" s="17">
        <v>6.4</v>
      </c>
      <c r="D21" s="17">
        <v>-6.7</v>
      </c>
      <c r="E21" s="17">
        <v>4.2</v>
      </c>
      <c r="F21" s="18">
        <f t="shared" si="0"/>
      </c>
      <c r="G21" s="19">
        <f t="shared" si="1"/>
      </c>
      <c r="I21" s="21">
        <v>21415.2</v>
      </c>
    </row>
    <row r="22">
      <c r="A22" s="16" t="s">
        <v>85</v>
      </c>
      <c r="B22" s="17">
        <v>-2.8</v>
      </c>
      <c r="C22" s="17">
        <v>6.1</v>
      </c>
      <c r="D22" s="17">
        <v>3.1</v>
      </c>
      <c r="E22" s="17">
        <v>5.7</v>
      </c>
      <c r="F22" s="18">
        <f t="shared" si="0"/>
      </c>
      <c r="G22" s="19">
        <f t="shared" si="1"/>
      </c>
      <c r="I22" s="21">
        <v>21859.79</v>
      </c>
    </row>
    <row r="23">
      <c r="A23" s="16" t="s">
        <v>86</v>
      </c>
      <c r="B23" s="17">
        <v>-0.8</v>
      </c>
      <c r="C23" s="17">
        <v>4.2</v>
      </c>
      <c r="D23" s="17">
        <v>2.7</v>
      </c>
      <c r="E23" s="17">
        <v>3.3</v>
      </c>
      <c r="F23" s="18">
        <f t="shared" si="0"/>
      </c>
      <c r="G23" s="19">
        <f t="shared" si="1"/>
      </c>
      <c r="I23" s="21">
        <v>20156.51</v>
      </c>
    </row>
    <row r="24">
      <c r="A24" s="16" t="s">
        <v>87</v>
      </c>
      <c r="B24" s="17">
        <v>-0.8</v>
      </c>
      <c r="C24" s="17">
        <v>2.2</v>
      </c>
      <c r="D24" s="17">
        <v>5.4</v>
      </c>
      <c r="E24" s="17">
        <v>3.1</v>
      </c>
      <c r="F24" s="18">
        <f t="shared" si="0"/>
      </c>
      <c r="G24" s="19">
        <f t="shared" si="1"/>
      </c>
      <c r="I24" s="21">
        <v>19954.39</v>
      </c>
    </row>
    <row r="25">
      <c r="A25" s="16" t="s">
        <v>88</v>
      </c>
      <c r="B25" s="17">
        <v>-0.8</v>
      </c>
      <c r="C25" s="17">
        <v>1</v>
      </c>
      <c r="D25" s="17">
        <v>2.5</v>
      </c>
      <c r="E25" s="17">
        <v>2.1</v>
      </c>
      <c r="F25" s="18">
        <f t="shared" si="0"/>
      </c>
      <c r="G25" s="19">
        <f t="shared" si="1"/>
      </c>
      <c r="I25" s="21">
        <v>17222.83</v>
      </c>
    </row>
    <row r="26">
      <c r="A26" s="16" t="s">
        <v>89</v>
      </c>
      <c r="B26" s="17">
        <v>0.7</v>
      </c>
      <c r="C26" s="17">
        <v>-1.3</v>
      </c>
      <c r="D26" s="17">
        <v>-0.5</v>
      </c>
      <c r="E26" s="17">
        <v>2.3</v>
      </c>
      <c r="F26" s="18">
        <f t="shared" si="0"/>
      </c>
      <c r="G26" s="19">
        <f t="shared" si="1"/>
      </c>
      <c r="I26" s="21">
        <v>14687.02</v>
      </c>
    </row>
    <row r="27">
      <c r="A27" s="16" t="s">
        <v>90</v>
      </c>
      <c r="B27" s="17">
        <v>0.7</v>
      </c>
      <c r="C27" s="17">
        <v>-1.2</v>
      </c>
      <c r="D27" s="17">
        <v>-5.9</v>
      </c>
      <c r="E27" s="17">
        <v>0</v>
      </c>
      <c r="F27" s="18">
        <f t="shared" si="0"/>
      </c>
      <c r="G27" s="19">
        <f t="shared" si="1"/>
      </c>
      <c r="I27" s="21">
        <v>18597.23</v>
      </c>
    </row>
    <row r="28">
      <c r="A28" s="16" t="s">
        <v>91</v>
      </c>
      <c r="B28" s="17">
        <v>0.7</v>
      </c>
      <c r="C28" s="17">
        <v>-0.6</v>
      </c>
      <c r="D28" s="17">
        <v>-1.8</v>
      </c>
      <c r="E28" s="17">
        <v>-4</v>
      </c>
      <c r="F28" s="18">
        <f t="shared" si="0"/>
      </c>
      <c r="G28" s="19">
        <f t="shared" si="1"/>
      </c>
      <c r="I28" s="21">
        <v>19781.41</v>
      </c>
    </row>
    <row r="29">
      <c r="A29" s="16" t="s">
        <v>92</v>
      </c>
      <c r="B29" s="17">
        <v>0.9</v>
      </c>
      <c r="C29" s="17">
        <v>-0.9</v>
      </c>
      <c r="D29" s="17">
        <v>3.5</v>
      </c>
      <c r="E29" s="17">
        <v>-4</v>
      </c>
      <c r="F29" s="18">
        <f t="shared" si="0"/>
      </c>
      <c r="G29" s="19">
        <f t="shared" si="1"/>
      </c>
      <c r="I29" s="21">
        <v>21842.33</v>
      </c>
    </row>
    <row r="30">
      <c r="A30" s="16" t="s">
        <v>93</v>
      </c>
      <c r="B30" s="17">
        <v>0.9</v>
      </c>
      <c r="C30" s="17">
        <v>-1.4</v>
      </c>
      <c r="D30" s="17">
        <v>3.5</v>
      </c>
      <c r="E30" s="17">
        <v>0</v>
      </c>
      <c r="F30" s="18">
        <f t="shared" si="0"/>
      </c>
      <c r="G30" s="19">
        <f t="shared" si="1"/>
      </c>
      <c r="I30" s="21">
        <v>19785.94</v>
      </c>
    </row>
    <row r="31">
      <c r="A31" s="16" t="s">
        <v>94</v>
      </c>
      <c r="B31" s="17">
        <v>0.9</v>
      </c>
      <c r="C31" s="17">
        <v>-2.5</v>
      </c>
      <c r="D31" s="17">
        <v>10.6</v>
      </c>
      <c r="E31" s="17">
        <v>0.2</v>
      </c>
      <c r="F31" s="18">
        <f t="shared" si="0"/>
      </c>
      <c r="G31" s="19">
        <f t="shared" si="1"/>
      </c>
      <c r="I31" s="21">
        <v>20400.11</v>
      </c>
    </row>
    <row r="32">
      <c r="A32" s="16" t="s">
        <v>95</v>
      </c>
      <c r="B32" s="17">
        <v>-0.1</v>
      </c>
      <c r="C32" s="17">
        <v>-3.5</v>
      </c>
      <c r="D32" s="17">
        <v>18.4</v>
      </c>
      <c r="E32" s="17">
        <v>1.8</v>
      </c>
      <c r="F32" s="18">
        <f t="shared" si="0"/>
      </c>
      <c r="G32" s="19">
        <f t="shared" si="1"/>
      </c>
      <c r="I32" s="21">
        <v>19894.57</v>
      </c>
    </row>
    <row r="33">
      <c r="A33" s="16" t="s">
        <v>96</v>
      </c>
      <c r="B33" s="17">
        <v>-0.1</v>
      </c>
      <c r="C33" s="17">
        <v>-4.5</v>
      </c>
      <c r="D33" s="17">
        <v>12.7</v>
      </c>
      <c r="E33" s="17">
        <v>0.7</v>
      </c>
      <c r="F33" s="18">
        <f t="shared" si="0"/>
      </c>
      <c r="G33" s="19">
        <f t="shared" si="1"/>
      </c>
      <c r="I33" s="21">
        <v>18234.27</v>
      </c>
    </row>
    <row r="34">
      <c r="A34" s="16" t="s">
        <v>97</v>
      </c>
      <c r="B34" s="17">
        <v>-0.1</v>
      </c>
      <c r="C34" s="17">
        <v>-5.3</v>
      </c>
      <c r="D34" s="17">
        <v>3.1</v>
      </c>
      <c r="E34" s="17">
        <v>0.9</v>
      </c>
      <c r="F34" s="18">
        <f t="shared" si="0"/>
      </c>
      <c r="G34" s="19">
        <f t="shared" si="1"/>
      </c>
      <c r="I34" s="21">
        <v>18916.43</v>
      </c>
    </row>
    <row r="35">
      <c r="A35" s="16" t="s">
        <v>98</v>
      </c>
      <c r="B35" s="17">
        <v>2.3</v>
      </c>
      <c r="C35" s="17">
        <v>-4.4</v>
      </c>
      <c r="D35" s="17">
        <v>2.5</v>
      </c>
      <c r="E35" s="17">
        <v>0.7</v>
      </c>
      <c r="F35" s="18">
        <f t="shared" si="0"/>
      </c>
      <c r="G35" s="19">
        <f t="shared" si="1"/>
      </c>
      <c r="I35" s="21">
        <v>20078.94</v>
      </c>
    </row>
    <row r="36">
      <c r="A36" s="16" t="s">
        <v>99</v>
      </c>
      <c r="B36" s="17">
        <v>2.3</v>
      </c>
      <c r="C36" s="17">
        <v>-3</v>
      </c>
      <c r="D36" s="17">
        <v>4.6</v>
      </c>
      <c r="E36" s="17">
        <v>-1.3</v>
      </c>
      <c r="F36" s="18">
        <f t="shared" si="0"/>
      </c>
      <c r="G36" s="19">
        <f t="shared" si="1"/>
      </c>
      <c r="I36" s="21">
        <v>18382.06</v>
      </c>
    </row>
    <row r="37">
      <c r="A37" s="16" t="s">
        <v>100</v>
      </c>
      <c r="B37" s="17">
        <v>2.3</v>
      </c>
      <c r="C37" s="17">
        <v>-2.5</v>
      </c>
      <c r="D37" s="17">
        <v>5.5</v>
      </c>
      <c r="E37" s="17">
        <v>-1.5</v>
      </c>
      <c r="F37" s="18">
        <f t="shared" si="0"/>
      </c>
      <c r="G37" s="19">
        <f t="shared" si="1"/>
      </c>
      <c r="I37" s="21">
        <v>17809.66</v>
      </c>
    </row>
    <row r="38">
      <c r="A38" s="16" t="s">
        <v>101</v>
      </c>
      <c r="B38" s="17">
        <v>1.9</v>
      </c>
      <c r="C38" s="17">
        <v>-2.6</v>
      </c>
      <c r="D38" s="17">
        <v>7.6</v>
      </c>
      <c r="E38" s="17">
        <v>-0.5</v>
      </c>
      <c r="F38" s="18">
        <f t="shared" si="0"/>
      </c>
      <c r="G38" s="19">
        <f t="shared" si="1"/>
      </c>
      <c r="I38" s="21">
        <v>17112.48</v>
      </c>
    </row>
    <row r="39">
      <c r="A39" s="16" t="s">
        <v>102</v>
      </c>
      <c r="B39" s="17">
        <v>1.9</v>
      </c>
      <c r="C39" s="17">
        <v>-3</v>
      </c>
      <c r="D39" s="17">
        <v>10.1</v>
      </c>
      <c r="E39" s="17">
        <v>2.1</v>
      </c>
      <c r="F39" s="18">
        <f t="shared" si="0"/>
      </c>
      <c r="G39" s="19">
        <f t="shared" si="1"/>
      </c>
      <c r="I39" s="21">
        <v>17042.88</v>
      </c>
    </row>
    <row r="40">
      <c r="A40" s="16" t="s">
        <v>103</v>
      </c>
      <c r="B40" s="17">
        <v>1.9</v>
      </c>
      <c r="C40" s="17">
        <v>-2.7</v>
      </c>
      <c r="D40" s="17">
        <v>7.4</v>
      </c>
      <c r="E40" s="17">
        <v>4.4</v>
      </c>
      <c r="F40" s="18">
        <f t="shared" si="0"/>
      </c>
      <c r="G40" s="19">
        <f t="shared" si="1"/>
      </c>
      <c r="I40" s="21">
        <v>17047.39</v>
      </c>
    </row>
    <row r="41">
      <c r="A41" s="16" t="s">
        <v>104</v>
      </c>
      <c r="B41" s="17">
        <v>-0.4</v>
      </c>
      <c r="C41" s="17">
        <v>-2.4</v>
      </c>
      <c r="D41" s="17">
        <v>5.5</v>
      </c>
      <c r="E41" s="17">
        <v>5.7</v>
      </c>
      <c r="F41" s="18">
        <f t="shared" si="0"/>
      </c>
      <c r="G41" s="19">
        <f t="shared" si="1"/>
      </c>
      <c r="I41" s="21">
        <v>15485.07</v>
      </c>
    </row>
    <row r="42">
      <c r="A42" s="16" t="s">
        <v>105</v>
      </c>
      <c r="B42" s="17">
        <v>-0.4</v>
      </c>
      <c r="C42" s="17">
        <v>-2.7</v>
      </c>
      <c r="D42" s="17">
        <v>5.5</v>
      </c>
      <c r="E42" s="17">
        <v>2.2</v>
      </c>
      <c r="F42" s="18">
        <f t="shared" si="0"/>
      </c>
      <c r="G42" s="19">
        <f t="shared" si="1"/>
      </c>
      <c r="I42" s="21">
        <v>16511.44</v>
      </c>
    </row>
    <row r="43">
      <c r="A43" s="16" t="s">
        <v>106</v>
      </c>
      <c r="B43" s="17">
        <v>-0.4</v>
      </c>
      <c r="C43" s="17">
        <v>-2.8</v>
      </c>
      <c r="D43" s="17">
        <v>3.1</v>
      </c>
      <c r="E43" s="17">
        <v>0.5</v>
      </c>
      <c r="F43" s="18">
        <f t="shared" si="0"/>
      </c>
      <c r="G43" s="19">
        <f t="shared" si="1"/>
      </c>
      <c r="I43" s="21">
        <v>16541.42</v>
      </c>
    </row>
    <row r="44">
      <c r="A44" s="16" t="s">
        <v>107</v>
      </c>
      <c r="B44" s="17">
        <v>1.5</v>
      </c>
      <c r="C44" s="17">
        <v>-2.5</v>
      </c>
      <c r="D44" s="17">
        <v>2.3</v>
      </c>
      <c r="E44" s="17">
        <v>-3</v>
      </c>
      <c r="F44" s="18">
        <f t="shared" si="0"/>
      </c>
      <c r="G44" s="19">
        <f t="shared" si="1"/>
      </c>
      <c r="I44" s="21">
        <v>17763.03</v>
      </c>
    </row>
    <row r="45">
      <c r="A45" s="16" t="s">
        <v>108</v>
      </c>
      <c r="B45" s="17">
        <v>1.5</v>
      </c>
      <c r="C45" s="17">
        <v>-1.5</v>
      </c>
      <c r="D45" s="17">
        <v>3.7</v>
      </c>
      <c r="E45" s="17">
        <v>-3</v>
      </c>
      <c r="F45" s="18">
        <f t="shared" si="0"/>
      </c>
      <c r="G45" s="19">
        <f t="shared" si="1"/>
      </c>
      <c r="I45" s="21">
        <v>18079.61</v>
      </c>
    </row>
    <row r="46">
      <c r="A46" s="16" t="s">
        <v>109</v>
      </c>
      <c r="B46" s="17">
        <v>1.5</v>
      </c>
      <c r="C46" s="17">
        <v>-0.8</v>
      </c>
      <c r="D46" s="17">
        <v>2</v>
      </c>
      <c r="E46" s="17">
        <v>-5.5</v>
      </c>
      <c r="F46" s="18">
        <f t="shared" si="0"/>
      </c>
      <c r="G46" s="19">
        <f t="shared" si="1"/>
      </c>
      <c r="I46" s="21">
        <v>17718.61</v>
      </c>
    </row>
    <row r="47">
      <c r="A47" s="16" t="s">
        <v>110</v>
      </c>
      <c r="B47" s="17">
        <v>3</v>
      </c>
      <c r="C47" s="17">
        <v>-0.7</v>
      </c>
      <c r="D47" s="17">
        <v>2.7</v>
      </c>
      <c r="E47" s="17">
        <v>-5.6</v>
      </c>
      <c r="F47" s="18">
        <f t="shared" si="0"/>
      </c>
      <c r="G47" s="19">
        <f t="shared" si="1"/>
      </c>
      <c r="I47" s="21">
        <v>17344.6</v>
      </c>
    </row>
    <row r="48">
      <c r="A48" s="16" t="s">
        <v>111</v>
      </c>
      <c r="B48" s="17">
        <v>3</v>
      </c>
      <c r="C48" s="17">
        <v>-1.8</v>
      </c>
      <c r="D48" s="17">
        <v>2.1</v>
      </c>
      <c r="E48" s="17">
        <v>-3.2</v>
      </c>
      <c r="F48" s="18">
        <f t="shared" si="0"/>
      </c>
      <c r="G48" s="19">
        <f t="shared" si="1"/>
      </c>
      <c r="I48" s="21">
        <v>17989.07</v>
      </c>
    </row>
    <row r="49">
      <c r="A49" s="16" t="s">
        <v>112</v>
      </c>
      <c r="B49" s="17">
        <v>3</v>
      </c>
      <c r="C49" s="17">
        <v>-2.8</v>
      </c>
      <c r="D49" s="17">
        <v>3.2</v>
      </c>
      <c r="E49" s="17">
        <v>-2.9</v>
      </c>
      <c r="F49" s="18">
        <f t="shared" si="0"/>
      </c>
      <c r="G49" s="19">
        <f t="shared" si="1"/>
      </c>
      <c r="I49" s="21">
        <v>21133.68</v>
      </c>
    </row>
    <row r="50">
      <c r="A50" s="16" t="s">
        <v>113</v>
      </c>
      <c r="B50" s="17">
        <v>2.7</v>
      </c>
      <c r="C50" s="17">
        <v>-2.9</v>
      </c>
      <c r="D50" s="17">
        <v>4.8</v>
      </c>
      <c r="E50" s="17">
        <v>-1.6</v>
      </c>
      <c r="F50" s="18">
        <f t="shared" si="0"/>
      </c>
      <c r="G50" s="19">
        <f t="shared" si="1"/>
      </c>
      <c r="I50" s="21">
        <v>20317.33</v>
      </c>
    </row>
    <row r="51">
      <c r="A51" s="16" t="s">
        <v>114</v>
      </c>
      <c r="B51" s="17">
        <v>2.7</v>
      </c>
      <c r="C51" s="17">
        <v>-2.5</v>
      </c>
      <c r="D51" s="17">
        <v>3</v>
      </c>
      <c r="E51" s="17">
        <v>-2.4</v>
      </c>
      <c r="F51" s="18">
        <f t="shared" si="0"/>
      </c>
      <c r="G51" s="19">
        <f t="shared" si="1"/>
      </c>
      <c r="I51" s="21">
        <v>19423.61</v>
      </c>
    </row>
    <row r="52">
      <c r="A52" s="16" t="s">
        <v>115</v>
      </c>
      <c r="B52" s="17">
        <v>2.7</v>
      </c>
      <c r="C52" s="17">
        <v>-2.3</v>
      </c>
      <c r="D52" s="17">
        <v>3.7</v>
      </c>
      <c r="E52" s="17">
        <v>0.2</v>
      </c>
      <c r="F52" s="18">
        <f t="shared" si="0"/>
      </c>
      <c r="G52" s="19">
        <f t="shared" si="1"/>
      </c>
      <c r="I52" s="21">
        <v>20059.95</v>
      </c>
    </row>
    <row r="53">
      <c r="A53" s="16" t="s">
        <v>116</v>
      </c>
      <c r="B53" s="17">
        <v>7.7</v>
      </c>
      <c r="C53" s="17">
        <v>-2.3</v>
      </c>
      <c r="D53" s="17">
        <v>4</v>
      </c>
      <c r="E53" s="17">
        <v>0.7</v>
      </c>
      <c r="F53" s="18">
        <f t="shared" si="0"/>
      </c>
      <c r="G53" s="19">
        <f t="shared" si="1"/>
      </c>
      <c r="I53" s="21">
        <v>20225.11</v>
      </c>
    </row>
    <row r="54">
      <c r="A54" s="16" t="s">
        <v>117</v>
      </c>
      <c r="B54" s="17">
        <v>7.7</v>
      </c>
      <c r="C54" s="17">
        <v>-2.1</v>
      </c>
      <c r="D54" s="17">
        <v>4</v>
      </c>
      <c r="E54" s="17">
        <v>1.9</v>
      </c>
      <c r="F54" s="18">
        <f t="shared" si="0"/>
      </c>
      <c r="G54" s="19">
        <f t="shared" si="1"/>
      </c>
      <c r="I54" s="21">
        <v>22941.32</v>
      </c>
    </row>
    <row r="55">
      <c r="A55" s="16" t="s">
        <v>118</v>
      </c>
      <c r="B55" s="17">
        <v>7.7</v>
      </c>
      <c r="C55" s="17">
        <v>-2.5</v>
      </c>
      <c r="D55" s="17">
        <v>5.9</v>
      </c>
      <c r="E55" s="17">
        <v>3.9</v>
      </c>
      <c r="F55" s="18">
        <f t="shared" si="0"/>
      </c>
      <c r="G55" s="19">
        <f t="shared" si="1"/>
      </c>
      <c r="I55" s="21">
        <v>23119.58</v>
      </c>
    </row>
    <row r="56">
      <c r="A56" s="16" t="s">
        <v>119</v>
      </c>
      <c r="B56" s="17">
        <v>8.4</v>
      </c>
      <c r="C56" s="17">
        <v>-2.7</v>
      </c>
      <c r="D56" s="17">
        <v>5.1</v>
      </c>
      <c r="E56" s="17">
        <v>6.7</v>
      </c>
      <c r="F56" s="18">
        <f t="shared" si="0"/>
      </c>
      <c r="G56" s="19">
        <f t="shared" si="1"/>
      </c>
      <c r="I56" s="21">
        <v>22119.41</v>
      </c>
    </row>
    <row r="57">
      <c r="A57" s="16" t="s">
        <v>120</v>
      </c>
      <c r="B57" s="17">
        <v>8.4</v>
      </c>
      <c r="C57" s="17">
        <v>-3.3</v>
      </c>
      <c r="D57" s="17">
        <v>6.4</v>
      </c>
      <c r="E57" s="17">
        <v>7.2</v>
      </c>
      <c r="F57" s="18">
        <f t="shared" si="0"/>
      </c>
      <c r="G57" s="19">
        <f t="shared" si="1"/>
      </c>
      <c r="I57" s="21">
        <v>23289.77</v>
      </c>
    </row>
    <row r="58">
      <c r="A58" s="16" t="s">
        <v>121</v>
      </c>
      <c r="B58" s="17">
        <v>8.4</v>
      </c>
      <c r="C58" s="17">
        <v>-3.5</v>
      </c>
      <c r="D58" s="17">
        <v>4.8</v>
      </c>
      <c r="E58" s="17">
        <v>7.2</v>
      </c>
      <c r="F58" s="18">
        <f t="shared" si="0"/>
      </c>
      <c r="G58" s="19">
        <f t="shared" si="1"/>
      </c>
      <c r="I58" s="21">
        <v>24072.28</v>
      </c>
    </row>
    <row r="59">
      <c r="A59" s="16" t="s">
        <v>122</v>
      </c>
      <c r="B59" s="17">
        <v>4.5</v>
      </c>
      <c r="C59" s="17">
        <v>-3.6</v>
      </c>
      <c r="D59" s="17">
        <v>3.7</v>
      </c>
      <c r="E59" s="17">
        <v>6.6</v>
      </c>
      <c r="F59" s="18">
        <f t="shared" si="0"/>
      </c>
      <c r="G59" s="19">
        <f t="shared" si="1"/>
      </c>
      <c r="I59" s="21">
        <v>24773.33</v>
      </c>
    </row>
    <row r="60">
      <c r="A60" s="16" t="s">
        <v>123</v>
      </c>
      <c r="B60" s="17">
        <v>4.5</v>
      </c>
      <c r="C60" s="17">
        <v>-2.8</v>
      </c>
      <c r="D60" s="17">
        <v>3.4</v>
      </c>
      <c r="E60" s="17">
        <v>4.8</v>
      </c>
      <c r="F60" s="18">
        <f t="shared" si="0"/>
      </c>
      <c r="G60" s="19">
        <f t="shared" si="1"/>
      </c>
      <c r="I60" s="21">
        <v>25077.62</v>
      </c>
    </row>
    <row r="61">
      <c r="A61" s="16" t="s">
        <v>124</v>
      </c>
      <c r="B61" s="17">
        <v>4.5</v>
      </c>
      <c r="C61" s="17">
        <v>-2.3</v>
      </c>
      <c r="D61" s="17">
        <v>3</v>
      </c>
      <c r="E61" s="17">
        <v>3</v>
      </c>
      <c r="F61" s="18">
        <f t="shared" si="0"/>
      </c>
      <c r="G61" s="19">
        <f t="shared" si="1"/>
      </c>
      <c r="I61" s="21">
        <v>26855.56</v>
      </c>
    </row>
    <row r="62">
      <c r="A62" s="16" t="s">
        <v>125</v>
      </c>
      <c r="B62" s="17">
        <v>4.2</v>
      </c>
      <c r="C62" s="17">
        <v>-2.2</v>
      </c>
      <c r="D62" s="17">
        <v>2.9</v>
      </c>
      <c r="E62" s="17">
        <v>0.4</v>
      </c>
      <c r="F62" s="18">
        <f t="shared" si="0"/>
      </c>
      <c r="G62" s="19">
        <f t="shared" si="1"/>
      </c>
      <c r="I62" s="21">
        <v>25906.65</v>
      </c>
    </row>
    <row r="63">
      <c r="A63" s="16" t="s">
        <v>126</v>
      </c>
      <c r="B63" s="17">
        <v>4.2</v>
      </c>
      <c r="C63" s="17">
        <v>-2.2</v>
      </c>
      <c r="D63" s="17">
        <v>1.3</v>
      </c>
      <c r="E63" s="17">
        <v>0.2</v>
      </c>
      <c r="F63" s="18">
        <f t="shared" si="0"/>
      </c>
      <c r="G63" s="19">
        <f t="shared" si="1"/>
      </c>
      <c r="I63" s="21">
        <v>25858.89</v>
      </c>
    </row>
    <row r="64">
      <c r="A64" s="16" t="s">
        <v>127</v>
      </c>
      <c r="B64" s="17">
        <v>4.2</v>
      </c>
      <c r="C64" s="17">
        <v>-1.9</v>
      </c>
      <c r="D64" s="17">
        <v>0.9</v>
      </c>
      <c r="E64" s="17">
        <v>-1.9</v>
      </c>
      <c r="F64" s="18">
        <f t="shared" si="0"/>
      </c>
      <c r="G64" s="19">
        <f t="shared" si="1"/>
      </c>
      <c r="I64" s="21">
        <v>25630.54</v>
      </c>
    </row>
    <row r="65">
      <c r="A65" s="23" t="s">
        <v>128</v>
      </c>
      <c r="B65" s="24">
        <v>1.2</v>
      </c>
      <c r="C65" s="24">
        <v>-1.4</v>
      </c>
      <c r="D65" s="24">
        <v>2.8</v>
      </c>
      <c r="E65" s="24">
        <v>-2.2</v>
      </c>
      <c r="F65" s="25">
        <f t="shared" si="0"/>
      </c>
      <c r="G65" s="26">
        <f t="shared" si="1"/>
      </c>
      <c r="I65" s="27">
        <v>27387.11</v>
      </c>
    </row>
    <row r="66">
      <c r="A66" s="23" t="s">
        <v>129</v>
      </c>
      <c r="B66" s="24">
        <v>1.2</v>
      </c>
      <c r="C66" s="24">
        <v>-0.9</v>
      </c>
      <c r="D66" s="24">
        <v>2.8</v>
      </c>
      <c r="E66" s="24">
        <v>-1.4</v>
      </c>
      <c r="F66" s="25">
        <f t="shared" si="0"/>
      </c>
      <c r="G66" s="26">
        <f t="shared" si="1"/>
      </c>
      <c r="I66" s="27">
        <v>26630.54</v>
      </c>
    </row>
    <row r="67">
      <c r="A67" s="23" t="s">
        <v>130</v>
      </c>
      <c r="B67" s="24">
        <v>1.2</v>
      </c>
      <c r="C67" s="24">
        <v>0.5</v>
      </c>
      <c r="D67" s="24">
        <v>1.7</v>
      </c>
      <c r="E67" s="24">
        <v>-2</v>
      </c>
      <c r="F67" s="25">
        <f t="shared" si="0"/>
      </c>
      <c r="G67" s="26">
        <f t="shared" si="1"/>
      </c>
      <c r="I67" s="27">
        <v>24788.14</v>
      </c>
    </row>
    <row r="68">
      <c r="A68" s="23" t="s">
        <v>131</v>
      </c>
      <c r="B68" s="24">
        <v>2.6</v>
      </c>
      <c r="C68" s="24">
        <v>2.8</v>
      </c>
      <c r="D68" s="24">
        <v>0.2</v>
      </c>
      <c r="E68" s="24">
        <v>-2</v>
      </c>
      <c r="F68" s="25">
        <f t="shared" si="0"/>
      </c>
      <c r="G68" s="26">
        <f t="shared" si="1"/>
      </c>
      <c r="I68" s="27">
        <v>25776.53</v>
      </c>
    </row>
    <row r="69">
      <c r="A69" s="23" t="s">
        <v>132</v>
      </c>
      <c r="B69" s="24">
        <v>2.6</v>
      </c>
      <c r="C69" s="24">
        <v>3.9</v>
      </c>
      <c r="D69" s="24">
        <v>-0.6</v>
      </c>
      <c r="E69" s="24">
        <v>-2.6</v>
      </c>
      <c r="F69" s="25">
        <f t="shared" si="0"/>
      </c>
      <c r="G69" s="26">
        <f t="shared" si="1"/>
      </c>
      <c r="I69" s="27">
        <v>25182.39</v>
      </c>
    </row>
    <row r="70">
      <c r="A70" s="23" t="s">
        <v>133</v>
      </c>
      <c r="B70" s="24">
        <v>2.6</v>
      </c>
      <c r="C70" s="24">
        <v>4.1</v>
      </c>
      <c r="D70" s="24">
        <v>1</v>
      </c>
      <c r="E70" s="24">
        <v>-2.9</v>
      </c>
      <c r="F70" s="25">
        <f t="shared" si="0"/>
      </c>
      <c r="G70" s="26">
        <f t="shared" si="1"/>
      </c>
      <c r="I70" s="27">
        <v>22881.02</v>
      </c>
    </row>
    <row r="71">
      <c r="A71" s="23" t="s">
        <v>134</v>
      </c>
      <c r="B71" s="24">
        <v>5.6</v>
      </c>
      <c r="C71" s="24">
        <v>3.5</v>
      </c>
      <c r="D71" s="24">
        <v>0.6</v>
      </c>
      <c r="E71" s="24">
        <v>-2.6</v>
      </c>
      <c r="F71" s="25">
        <f t="shared" si="0"/>
      </c>
      <c r="G71" s="26">
        <f t="shared" si="1"/>
      </c>
      <c r="I71" s="27">
        <v>25884.43</v>
      </c>
    </row>
    <row r="72">
      <c r="A72" s="23" t="s">
        <v>135</v>
      </c>
      <c r="B72" s="24">
        <v>9.9</v>
      </c>
      <c r="C72" s="24">
        <v>3.8</v>
      </c>
      <c r="D72" s="24">
        <v>0.4</v>
      </c>
      <c r="E72" s="24">
        <v>-4</v>
      </c>
      <c r="F72" s="25">
        <f t="shared" si="0"/>
      </c>
      <c r="G72" s="26">
        <f t="shared" si="1"/>
      </c>
      <c r="I72" s="27">
        <v>25566.99</v>
      </c>
    </row>
    <row r="73">
      <c r="A73" s="23" t="s">
        <v>136</v>
      </c>
      <c r="B73" s="24"/>
      <c r="C73" s="24">
        <v>5</v>
      </c>
      <c r="D73" s="24">
        <v>1.1</v>
      </c>
      <c r="E73" s="24">
        <v>-3.1</v>
      </c>
      <c r="F73" s="25">
        <f t="shared" si="0"/>
      </c>
      <c r="G73" s="26">
        <f t="shared" si="1"/>
      </c>
      <c r="I73" s="27">
        <v>24613.27</v>
      </c>
    </row>
    <row r="74">
      <c r="A74" s="23" t="s">
        <v>137</v>
      </c>
      <c r="B74" s="24"/>
      <c r="C74" s="24"/>
      <c r="D74" s="24"/>
      <c r="E74" s="24"/>
      <c r="F74" s="25">
        <f t="shared" si="0"/>
      </c>
      <c r="G74" s="26">
        <f t="shared" si="1"/>
      </c>
    </row>
    <row r="75">
      <c r="A75" s="23" t="s">
        <v>138</v>
      </c>
      <c r="B75" s="24"/>
      <c r="C75" s="24"/>
      <c r="D75" s="24"/>
      <c r="E75" s="24"/>
      <c r="F75" s="25">
        <f t="shared" si="0"/>
      </c>
      <c r="G75" s="26">
        <f t="shared" si="1"/>
      </c>
    </row>
    <row r="76">
      <c r="A76" s="23" t="s">
        <v>139</v>
      </c>
      <c r="B76" s="24"/>
      <c r="C76" s="24"/>
      <c r="D76" s="24"/>
      <c r="E76" s="24"/>
      <c r="F76" s="25">
        <f t="shared" si="0"/>
      </c>
      <c r="G76" s="26">
        <f t="shared" si="1"/>
      </c>
    </row>
    <row r="77">
      <c r="A77" s="23" t="s">
        <v>140</v>
      </c>
      <c r="B77" s="24"/>
      <c r="C77" s="24"/>
      <c r="D77" s="24"/>
      <c r="E77" s="24"/>
      <c r="F77" s="25">
        <f t="shared" si="0"/>
      </c>
      <c r="G77" s="26">
        <f t="shared" si="1"/>
      </c>
    </row>
    <row r="78">
      <c r="A78" s="23" t="s">
        <v>141</v>
      </c>
      <c r="B78" s="24"/>
      <c r="C78" s="24"/>
      <c r="D78" s="24"/>
      <c r="E78" s="24"/>
      <c r="F78" s="25">
        <f t="shared" si="0"/>
      </c>
      <c r="G78" s="26">
        <f t="shared" si="1"/>
      </c>
    </row>
    <row r="79">
      <c r="A79" s="23" t="s">
        <v>142</v>
      </c>
      <c r="B79" s="24"/>
      <c r="C79" s="24"/>
      <c r="D79" s="24"/>
      <c r="E79" s="24"/>
      <c r="F79" s="25">
        <f t="shared" si="0"/>
      </c>
      <c r="G79" s="26">
        <f t="shared" si="1"/>
      </c>
    </row>
    <row r="80">
      <c r="A80" s="23" t="s">
        <v>143</v>
      </c>
      <c r="B80" s="24"/>
      <c r="C80" s="24"/>
      <c r="D80" s="24"/>
      <c r="E80" s="24"/>
      <c r="F80" s="25">
        <f t="shared" si="0"/>
      </c>
      <c r="G80" s="26">
        <f t="shared" si="1"/>
      </c>
    </row>
    <row r="81">
      <c r="A81" s="23" t="s">
        <v>144</v>
      </c>
      <c r="B81" s="24"/>
      <c r="C81" s="24"/>
      <c r="D81" s="24"/>
      <c r="E81" s="24"/>
      <c r="F81" s="25">
        <f t="shared" si="0"/>
      </c>
      <c r="G81" s="26">
        <f t="shared" si="1"/>
      </c>
    </row>
    <row r="82">
      <c r="A82" s="23" t="s">
        <v>145</v>
      </c>
      <c r="B82" s="24"/>
      <c r="C82" s="24"/>
      <c r="D82" s="24"/>
      <c r="E82" s="24"/>
      <c r="F82" s="25">
        <f t="shared" si="0"/>
      </c>
      <c r="G82" s="26">
        <f t="shared" si="1"/>
      </c>
    </row>
    <row r="83">
      <c r="A83" s="23" t="s">
        <v>146</v>
      </c>
      <c r="B83" s="24"/>
      <c r="C83" s="24"/>
      <c r="D83" s="24"/>
      <c r="E83" s="24"/>
      <c r="F83" s="25">
        <f t="shared" si="0"/>
      </c>
      <c r="G83" s="26">
        <f t="shared" si="1"/>
      </c>
    </row>
    <row r="84">
      <c r="A84" s="23" t="s">
        <v>147</v>
      </c>
      <c r="B84" s="24"/>
      <c r="C84" s="24"/>
      <c r="D84" s="24"/>
      <c r="E84" s="24"/>
      <c r="F84" s="25">
        <f t="shared" si="0"/>
      </c>
      <c r="G84" s="26">
        <f t="shared" si="1"/>
      </c>
    </row>
    <row r="85">
      <c r="A85" s="23" t="s">
        <v>148</v>
      </c>
      <c r="B85" s="24"/>
      <c r="C85" s="24"/>
      <c r="D85" s="24"/>
      <c r="E85" s="24"/>
      <c r="F85" s="25">
        <f t="shared" si="0"/>
      </c>
      <c r="G85" s="26">
        <f t="shared" si="1"/>
      </c>
    </row>
    <row r="86">
      <c r="A86" s="23" t="s">
        <v>149</v>
      </c>
      <c r="B86" s="24"/>
      <c r="C86" s="24"/>
      <c r="D86" s="24"/>
      <c r="E86" s="24"/>
      <c r="F86" s="25">
        <f t="shared" si="0"/>
      </c>
      <c r="G86" s="26">
        <f t="shared" si="1"/>
      </c>
    </row>
    <row r="87">
      <c r="A87" s="23" t="s">
        <v>150</v>
      </c>
      <c r="B87" s="24"/>
      <c r="C87" s="24"/>
      <c r="D87" s="24"/>
      <c r="E87" s="24"/>
      <c r="F87" s="25">
        <f t="shared" si="0"/>
      </c>
      <c r="G87" s="26">
        <f t="shared" si="1"/>
      </c>
    </row>
    <row r="88">
      <c r="A88" s="23" t="s">
        <v>151</v>
      </c>
      <c r="B88" s="24"/>
      <c r="C88" s="24"/>
      <c r="D88" s="24"/>
      <c r="E88" s="24"/>
      <c r="F88" s="25">
        <f t="shared" si="0"/>
      </c>
      <c r="G88" s="26">
        <f t="shared" si="1"/>
      </c>
    </row>
  </sheetData>
  <mergeCells>
    <mergeCell ref="F3:G3"/>
    <mergeCell ref="A2:H2"/>
    <mergeCell ref="J1:K1"/>
    <mergeCell ref="A1:H1"/>
  </mergeCells>
  <conditionalFormatting sqref="G5:G88">
    <cfRule dxfId="0" operator="equal" priority="1" stopIfTrue="true" type="cellIs">
      <formula>"警惕顶部"</formula>
    </cfRule>
  </conditionalFormatting>
  <conditionalFormatting sqref="G5:G88">
    <cfRule dxfId="1" operator="equal" priority="2" stopIfTrue="true" type="cellIs">
      <formula>"关注底部"</formula>
    </cfRule>
  </conditionalFormatting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{"Label":"1","ContentProducer":"001191110102MACQD9K64010000","ProduceID":"7701172080964242659","ReservedCode1":"","ContentPropagator":"","PropagateID":"","ReservedCode2":""}</vt:lpwstr>
  </property>
</Properties>
</file>